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ndor_A" sheetId="1" state="visible" r:id="rId1"/>
    <sheet xmlns:r="http://schemas.openxmlformats.org/officeDocument/2006/relationships" name="Vendor_B" sheetId="2" state="visible" r:id="rId2"/>
    <sheet xmlns:r="http://schemas.openxmlformats.org/officeDocument/2006/relationships" name="Vendor_C" sheetId="3" state="visible" r:id="rId3"/>
    <sheet xmlns:r="http://schemas.openxmlformats.org/officeDocument/2006/relationships" name="Product_BOM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2" applyAlignment="1" pivotButton="0" quotePrefix="0" xfId="0">
      <alignment horizontal="right"/>
    </xf>
    <xf numFmtId="164" fontId="3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</cols>
  <sheetData>
    <row r="1">
      <c r="A1" s="1" t="inlineStr">
        <is>
          <t>Vendor_A Price List</t>
        </is>
      </c>
    </row>
    <row r="3">
      <c r="A3" s="2" t="inlineStr">
        <is>
          <t>Part_ID</t>
        </is>
      </c>
      <c r="B3" s="2" t="inlineStr">
        <is>
          <t>Part_Name</t>
        </is>
      </c>
      <c r="C3" s="2" t="inlineStr">
        <is>
          <t>Unit_Price</t>
        </is>
      </c>
      <c r="D3" s="2" t="inlineStr">
        <is>
          <t>Notes</t>
        </is>
      </c>
    </row>
    <row r="4">
      <c r="A4" s="3" t="inlineStr">
        <is>
          <t>PR-2001</t>
        </is>
      </c>
      <c r="B4" s="3" t="inlineStr">
        <is>
          <t>Linear Actuator</t>
        </is>
      </c>
      <c r="C4" s="4" t="n">
        <v>132.5</v>
      </c>
      <c r="D4" s="3" t="inlineStr">
        <is>
          <t>Lead time 10d</t>
        </is>
      </c>
    </row>
    <row r="5">
      <c r="A5" s="3" t="inlineStr">
        <is>
          <t>PR-2002</t>
        </is>
      </c>
      <c r="B5" s="3" t="inlineStr">
        <is>
          <t>Steel Frame</t>
        </is>
      </c>
      <c r="C5" s="4" t="n">
        <v>44</v>
      </c>
      <c r="D5" s="3" t="inlineStr">
        <is>
          <t>CNC finish</t>
        </is>
      </c>
    </row>
    <row r="6">
      <c r="A6" s="3" t="inlineStr">
        <is>
          <t>PR-2003</t>
        </is>
      </c>
      <c r="B6" s="3" t="inlineStr">
        <is>
          <t>MCU Control Board</t>
        </is>
      </c>
      <c r="C6" s="4" t="n">
        <v>39.9</v>
      </c>
      <c r="D6" s="3" t="inlineStr">
        <is>
          <t>Rev B tested</t>
        </is>
      </c>
    </row>
    <row r="7">
      <c r="A7" s="3" t="inlineStr">
        <is>
          <t>PR-2004</t>
        </is>
      </c>
      <c r="B7" s="3" t="inlineStr">
        <is>
          <t>Cable Set</t>
        </is>
      </c>
      <c r="C7" s="4" t="n">
        <v>10.5</v>
      </c>
      <c r="D7" s="3" t="inlineStr">
        <is>
          <t>Bulk discount</t>
        </is>
      </c>
    </row>
    <row r="8">
      <c r="A8" s="3" t="inlineStr">
        <is>
          <t>PR-2005</t>
        </is>
      </c>
      <c r="B8" s="3" t="inlineStr">
        <is>
          <t>Bearing Pack</t>
        </is>
      </c>
      <c r="C8" s="4" t="n">
        <v>7.2</v>
      </c>
      <c r="D8" s="3" t="inlineStr">
        <is>
          <t>ISO certified</t>
        </is>
      </c>
    </row>
    <row r="9">
      <c r="A9" s="3" t="inlineStr">
        <is>
          <t>PR-2006</t>
        </is>
      </c>
      <c r="B9" s="3" t="inlineStr">
        <is>
          <t>Power Supply</t>
        </is>
      </c>
      <c r="C9" s="4" t="n">
        <v>22</v>
      </c>
      <c r="D9" s="3" t="inlineStr">
        <is>
          <t>UL listed</t>
        </is>
      </c>
    </row>
    <row r="10">
      <c r="A10" t="inlineStr">
        <is>
          <t>PR-2007</t>
        </is>
      </c>
      <c r="B10" t="inlineStr">
        <is>
          <t>Vision Sensor</t>
        </is>
      </c>
      <c r="C10" t="n">
        <v>85</v>
      </c>
      <c r="D10" t="inlineStr">
        <is>
          <t>Calibrated</t>
        </is>
      </c>
    </row>
    <row r="11">
      <c r="A11" t="inlineStr">
        <is>
          <t>PR-2008</t>
        </is>
      </c>
      <c r="B11" t="inlineStr">
        <is>
          <t>Fastener Kit</t>
        </is>
      </c>
      <c r="C11" t="n">
        <v>4.1</v>
      </c>
      <c r="D11" t="inlineStr">
        <is>
          <t>Includes spares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</cols>
  <sheetData>
    <row r="1">
      <c r="A1" s="1" t="inlineStr">
        <is>
          <t>Vendor_B Price List</t>
        </is>
      </c>
    </row>
    <row r="3">
      <c r="A3" s="2" t="inlineStr">
        <is>
          <t>Part_ID</t>
        </is>
      </c>
      <c r="B3" s="2" t="inlineStr">
        <is>
          <t>Part_Name</t>
        </is>
      </c>
      <c r="C3" s="2" t="inlineStr">
        <is>
          <t>Unit_Price</t>
        </is>
      </c>
      <c r="D3" s="2" t="inlineStr">
        <is>
          <t>Notes</t>
        </is>
      </c>
    </row>
    <row r="4">
      <c r="A4" s="3" t="inlineStr">
        <is>
          <t>PR-2001</t>
        </is>
      </c>
      <c r="B4" s="3" t="inlineStr">
        <is>
          <t>Linear Actuator</t>
        </is>
      </c>
      <c r="C4" s="4" t="n">
        <v>128</v>
      </c>
      <c r="D4" s="3" t="inlineStr">
        <is>
          <t>Lead time 7d</t>
        </is>
      </c>
    </row>
    <row r="5">
      <c r="A5" s="3" t="inlineStr">
        <is>
          <t>PR-2002</t>
        </is>
      </c>
      <c r="B5" s="3" t="inlineStr">
        <is>
          <t>Steel Frame</t>
        </is>
      </c>
      <c r="C5" s="4" t="n">
        <v>46.5</v>
      </c>
      <c r="D5" s="3" t="inlineStr">
        <is>
          <t>Powder coat</t>
        </is>
      </c>
    </row>
    <row r="6">
      <c r="A6" s="3" t="inlineStr">
        <is>
          <t>PR-2003</t>
        </is>
      </c>
      <c r="B6" s="3" t="inlineStr">
        <is>
          <t>MCU Control Board</t>
        </is>
      </c>
      <c r="C6" s="4" t="n">
        <v>41.2</v>
      </c>
      <c r="D6" s="3" t="inlineStr">
        <is>
          <t>RoHS compliant</t>
        </is>
      </c>
    </row>
    <row r="7">
      <c r="A7" s="3" t="inlineStr">
        <is>
          <t>PR-2004</t>
        </is>
      </c>
      <c r="B7" s="3" t="inlineStr">
        <is>
          <t>Cable Set</t>
        </is>
      </c>
      <c r="C7" s="4" t="n">
        <v>9.800000000000001</v>
      </c>
      <c r="D7" s="3" t="inlineStr">
        <is>
          <t>Ready-to-ship</t>
        </is>
      </c>
    </row>
    <row r="8">
      <c r="A8" s="3" t="inlineStr">
        <is>
          <t>PR-2005</t>
        </is>
      </c>
      <c r="B8" s="3" t="inlineStr">
        <is>
          <t>Bearing Pack</t>
        </is>
      </c>
      <c r="C8" s="4" t="n">
        <v>6.9</v>
      </c>
      <c r="D8" s="3" t="inlineStr">
        <is>
          <t>MOQ 20</t>
        </is>
      </c>
    </row>
    <row r="9">
      <c r="A9" s="3" t="inlineStr">
        <is>
          <t>PR-2006</t>
        </is>
      </c>
      <c r="B9" s="3" t="inlineStr">
        <is>
          <t>Power Supply</t>
        </is>
      </c>
      <c r="C9" s="4" t="n">
        <v>21.5</v>
      </c>
      <c r="D9" s="3" t="inlineStr">
        <is>
          <t>2-year warranty</t>
        </is>
      </c>
    </row>
    <row r="10">
      <c r="A10" t="inlineStr">
        <is>
          <t>PR-2007</t>
        </is>
      </c>
      <c r="B10" t="inlineStr">
        <is>
          <t>Vision Sensor</t>
        </is>
      </c>
      <c r="C10" t="n">
        <v>88</v>
      </c>
      <c r="D10" t="inlineStr">
        <is>
          <t>IP65 rated</t>
        </is>
      </c>
    </row>
    <row r="11">
      <c r="A11" t="inlineStr">
        <is>
          <t>PR-2008</t>
        </is>
      </c>
      <c r="B11" t="inlineStr">
        <is>
          <t>Fastener Kit</t>
        </is>
      </c>
      <c r="C11" t="n">
        <v>3.9</v>
      </c>
      <c r="D11" t="inlineStr">
        <is>
          <t>Includes washers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</cols>
  <sheetData>
    <row r="1">
      <c r="A1" s="1" t="inlineStr">
        <is>
          <t>Vendor_C Price List</t>
        </is>
      </c>
    </row>
    <row r="3">
      <c r="A3" s="2" t="inlineStr">
        <is>
          <t>Part_ID</t>
        </is>
      </c>
      <c r="B3" s="2" t="inlineStr">
        <is>
          <t>Part_Name</t>
        </is>
      </c>
      <c r="C3" s="2" t="inlineStr">
        <is>
          <t>Unit_Price</t>
        </is>
      </c>
      <c r="D3" s="2" t="inlineStr">
        <is>
          <t>Notes</t>
        </is>
      </c>
    </row>
    <row r="4">
      <c r="A4" s="3" t="inlineStr">
        <is>
          <t>PR-2001</t>
        </is>
      </c>
      <c r="B4" s="3" t="inlineStr">
        <is>
          <t>Linear Actuator</t>
        </is>
      </c>
      <c r="C4" s="4" t="n">
        <v>135</v>
      </c>
      <c r="D4" s="3" t="inlineStr">
        <is>
          <t>Lead time 14d</t>
        </is>
      </c>
    </row>
    <row r="5">
      <c r="A5" s="3" t="inlineStr">
        <is>
          <t>PR-2002</t>
        </is>
      </c>
      <c r="B5" s="3" t="inlineStr">
        <is>
          <t>Steel Frame</t>
        </is>
      </c>
      <c r="C5" s="4" t="n">
        <v>42</v>
      </c>
      <c r="D5" s="3" t="inlineStr">
        <is>
          <t>Economy grade</t>
        </is>
      </c>
    </row>
    <row r="6">
      <c r="A6" s="3" t="inlineStr">
        <is>
          <t>PR-2003</t>
        </is>
      </c>
      <c r="B6" s="3" t="inlineStr">
        <is>
          <t>MCU Control Board</t>
        </is>
      </c>
      <c r="C6" s="4" t="n">
        <v>38.5</v>
      </c>
      <c r="D6" s="3" t="inlineStr">
        <is>
          <t>Rev A</t>
        </is>
      </c>
    </row>
    <row r="7">
      <c r="A7" s="3" t="inlineStr">
        <is>
          <t>PR-2004</t>
        </is>
      </c>
      <c r="B7" s="3" t="inlineStr">
        <is>
          <t>Cable Set</t>
        </is>
      </c>
      <c r="C7" s="4" t="n">
        <v>11.2</v>
      </c>
      <c r="D7" s="3" t="inlineStr">
        <is>
          <t>Custom lengths</t>
        </is>
      </c>
    </row>
    <row r="8">
      <c r="A8" s="3" t="inlineStr">
        <is>
          <t>PR-2005</t>
        </is>
      </c>
      <c r="B8" s="3" t="inlineStr">
        <is>
          <t>Bearing Pack</t>
        </is>
      </c>
      <c r="C8" s="4" t="n">
        <v>7.5</v>
      </c>
      <c r="D8" s="3" t="inlineStr">
        <is>
          <t>Bulk packs</t>
        </is>
      </c>
    </row>
    <row r="9">
      <c r="A9" s="3" t="inlineStr">
        <is>
          <t>PR-2006</t>
        </is>
      </c>
      <c r="B9" s="3" t="inlineStr">
        <is>
          <t>Power Supply</t>
        </is>
      </c>
      <c r="C9" s="4" t="n">
        <v>23.5</v>
      </c>
      <c r="D9" s="3" t="inlineStr">
        <is>
          <t>Stable supply</t>
        </is>
      </c>
    </row>
    <row r="10">
      <c r="A10" t="inlineStr">
        <is>
          <t>PR-2007</t>
        </is>
      </c>
      <c r="B10" t="inlineStr">
        <is>
          <t>Vision Sensor</t>
        </is>
      </c>
      <c r="C10" t="n">
        <v>82</v>
      </c>
      <c r="D10" t="inlineStr">
        <is>
          <t>Factory calibrated</t>
        </is>
      </c>
    </row>
    <row r="11">
      <c r="A11" t="inlineStr">
        <is>
          <t>PR-2008</t>
        </is>
      </c>
      <c r="B11" t="inlineStr">
        <is>
          <t>Fastener Kit</t>
        </is>
      </c>
      <c r="C11" t="n">
        <v>4.3</v>
      </c>
      <c r="D11" t="inlineStr">
        <is>
          <t>Standard kit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10" customWidth="1" min="5" max="5"/>
    <col width="12" customWidth="1" min="6" max="6"/>
    <col width="12" customWidth="1" min="7" max="7"/>
    <col width="18" customWidth="1" min="8" max="8"/>
    <col width="14" customWidth="1" min="9" max="9"/>
  </cols>
  <sheetData>
    <row r="1">
      <c r="A1" s="1" t="inlineStr">
        <is>
          <t>BOM Cost Optimizer — Multi‑Vendor Costing</t>
        </is>
      </c>
    </row>
    <row r="3">
      <c r="A3" s="5" t="inlineStr">
        <is>
          <t>Inputs</t>
        </is>
      </c>
    </row>
    <row r="4">
      <c r="A4" s="6" t="inlineStr">
        <is>
          <t>Build_Qty (how many finished products?)</t>
        </is>
      </c>
      <c r="B4" s="7" t="n">
        <v>25</v>
      </c>
    </row>
    <row r="5">
      <c r="A5" s="6" t="inlineStr">
        <is>
          <t>Currency</t>
        </is>
      </c>
      <c r="B5" s="7" t="inlineStr">
        <is>
          <t>USD</t>
        </is>
      </c>
    </row>
    <row r="7">
      <c r="A7" s="8" t="inlineStr">
        <is>
          <t>Part_ID</t>
        </is>
      </c>
      <c r="B7" s="8" t="inlineStr">
        <is>
          <t>Part_Name</t>
        </is>
      </c>
      <c r="C7" s="8" t="inlineStr">
        <is>
          <t>Vendor</t>
        </is>
      </c>
      <c r="D7" s="8" t="inlineStr">
        <is>
          <t>Qty_Per_Product</t>
        </is>
      </c>
      <c r="E7" s="8" t="inlineStr">
        <is>
          <t>Total_Qty</t>
        </is>
      </c>
      <c r="F7" s="8" t="inlineStr">
        <is>
          <t>Unit_Price</t>
        </is>
      </c>
      <c r="G7" s="8" t="inlineStr">
        <is>
          <t>Total_Cost</t>
        </is>
      </c>
      <c r="H7" s="8" t="inlineStr">
        <is>
          <t>Comment</t>
        </is>
      </c>
      <c r="I7" s="8" t="inlineStr">
        <is>
          <t>Last_Updated</t>
        </is>
      </c>
    </row>
    <row r="8">
      <c r="A8" s="3" t="inlineStr">
        <is>
          <t>PR-2001</t>
        </is>
      </c>
      <c r="B8" s="3" t="inlineStr">
        <is>
          <t>Linear Actuator</t>
        </is>
      </c>
      <c r="C8" s="7" t="inlineStr">
        <is>
          <t>Vendor_B</t>
        </is>
      </c>
      <c r="D8" s="7" t="n">
        <v>1</v>
      </c>
      <c r="E8" s="3">
        <f>D8*$B$4</f>
        <v/>
      </c>
      <c r="F8" s="4">
        <f>IFERROR(IF(C8="Vendor_A",VLOOKUP(A8,Vendor_A!$A$4:$C$200,3,FALSE),IF(C8="Vendor_B",VLOOKUP(A8,Vendor_B!$A$4:$C$200,3,FALSE),VLOOKUP(A8,Vendor_C!$A$4:$C$200,3,FALSE))),"")</f>
        <v/>
      </c>
      <c r="G8" s="4">
        <f>IFERROR(E8*F8,"")</f>
        <v/>
      </c>
      <c r="H8" s="3" t="inlineStr"/>
      <c r="I8" s="3" t="inlineStr"/>
    </row>
    <row r="9">
      <c r="A9" s="3" t="inlineStr">
        <is>
          <t>PR-2002</t>
        </is>
      </c>
      <c r="B9" s="3" t="inlineStr">
        <is>
          <t>Steel Frame</t>
        </is>
      </c>
      <c r="C9" s="7" t="inlineStr">
        <is>
          <t>Vendor_C</t>
        </is>
      </c>
      <c r="D9" s="7" t="n">
        <v>1</v>
      </c>
      <c r="E9" s="3">
        <f>D9*$B$4</f>
        <v/>
      </c>
      <c r="F9" s="4">
        <f>IFERROR(IF(C9="Vendor_A",VLOOKUP(A9,Vendor_A!$A$4:$C$200,3,FALSE),IF(C9="Vendor_B",VLOOKUP(A9,Vendor_B!$A$4:$C$200,3,FALSE),VLOOKUP(A9,Vendor_C!$A$4:$C$200,3,FALSE))),"")</f>
        <v/>
      </c>
      <c r="G9" s="4">
        <f>IFERROR(E9*F9,"")</f>
        <v/>
      </c>
      <c r="H9" s="3" t="inlineStr"/>
      <c r="I9" s="3" t="inlineStr"/>
    </row>
    <row r="10">
      <c r="A10" s="3" t="inlineStr">
        <is>
          <t>PR-2003</t>
        </is>
      </c>
      <c r="B10" s="3" t="inlineStr">
        <is>
          <t>MCU Control Board</t>
        </is>
      </c>
      <c r="C10" s="7" t="inlineStr">
        <is>
          <t>Vendor_A</t>
        </is>
      </c>
      <c r="D10" s="7" t="n">
        <v>1</v>
      </c>
      <c r="E10" s="3">
        <f>D10*$B$4</f>
        <v/>
      </c>
      <c r="F10" s="4">
        <f>IFERROR(IF(C10="Vendor_A",VLOOKUP(A10,Vendor_A!$A$4:$C$200,3,FALSE),IF(C10="Vendor_B",VLOOKUP(A10,Vendor_B!$A$4:$C$200,3,FALSE),VLOOKUP(A10,Vendor_C!$A$4:$C$200,3,FALSE))),"")</f>
        <v/>
      </c>
      <c r="G10" s="4">
        <f>IFERROR(E10*F10,"")</f>
        <v/>
      </c>
      <c r="H10" s="3" t="inlineStr"/>
      <c r="I10" s="3" t="inlineStr"/>
    </row>
    <row r="11">
      <c r="A11" s="3" t="inlineStr">
        <is>
          <t>PR-2004</t>
        </is>
      </c>
      <c r="B11" s="3" t="inlineStr">
        <is>
          <t>Cable Set</t>
        </is>
      </c>
      <c r="C11" s="7" t="inlineStr">
        <is>
          <t>Vendor_B</t>
        </is>
      </c>
      <c r="D11" s="7" t="n">
        <v>2</v>
      </c>
      <c r="E11" s="3">
        <f>D11*$B$4</f>
        <v/>
      </c>
      <c r="F11" s="4">
        <f>IFERROR(IF(C11="Vendor_A",VLOOKUP(A11,Vendor_A!$A$4:$C$200,3,FALSE),IF(C11="Vendor_B",VLOOKUP(A11,Vendor_B!$A$4:$C$200,3,FALSE),VLOOKUP(A11,Vendor_C!$A$4:$C$200,3,FALSE))),"")</f>
        <v/>
      </c>
      <c r="G11" s="4">
        <f>IFERROR(E11*F11,"")</f>
        <v/>
      </c>
      <c r="H11" s="3" t="inlineStr"/>
      <c r="I11" s="3" t="inlineStr"/>
    </row>
    <row r="12">
      <c r="A12" s="3" t="inlineStr">
        <is>
          <t>PR-2005</t>
        </is>
      </c>
      <c r="B12" s="3" t="inlineStr">
        <is>
          <t>Bearing Pack</t>
        </is>
      </c>
      <c r="C12" s="7" t="inlineStr">
        <is>
          <t>Vendor_C</t>
        </is>
      </c>
      <c r="D12" s="7" t="n">
        <v>4</v>
      </c>
      <c r="E12" s="3">
        <f>D12*$B$4</f>
        <v/>
      </c>
      <c r="F12" s="4">
        <f>IFERROR(IF(C12="Vendor_A",VLOOKUP(A12,Vendor_A!$A$4:$C$200,3,FALSE),IF(C12="Vendor_B",VLOOKUP(A12,Vendor_B!$A$4:$C$200,3,FALSE),VLOOKUP(A12,Vendor_C!$A$4:$C$200,3,FALSE))),"")</f>
        <v/>
      </c>
      <c r="G12" s="4">
        <f>IFERROR(E12*F12,"")</f>
        <v/>
      </c>
      <c r="H12" s="3" t="inlineStr"/>
      <c r="I12" s="3" t="inlineStr"/>
    </row>
    <row r="13">
      <c r="A13" s="3" t="inlineStr">
        <is>
          <t>PR-2006</t>
        </is>
      </c>
      <c r="B13" s="3" t="inlineStr">
        <is>
          <t>Power Supply</t>
        </is>
      </c>
      <c r="C13" s="7" t="inlineStr">
        <is>
          <t>Vendor_A</t>
        </is>
      </c>
      <c r="D13" s="7" t="n">
        <v>1</v>
      </c>
      <c r="E13" s="3">
        <f>D13*$B$4</f>
        <v/>
      </c>
      <c r="F13" s="4">
        <f>IFERROR(IF(C13="Vendor_A",VLOOKUP(A13,Vendor_A!$A$4:$C$200,3,FALSE),IF(C13="Vendor_B",VLOOKUP(A13,Vendor_B!$A$4:$C$200,3,FALSE),VLOOKUP(A13,Vendor_C!$A$4:$C$200,3,FALSE))),"")</f>
        <v/>
      </c>
      <c r="G13" s="4">
        <f>IFERROR(E13*F13,"")</f>
        <v/>
      </c>
      <c r="H13" s="3" t="inlineStr"/>
      <c r="I13" s="3" t="inlineStr"/>
    </row>
    <row r="14">
      <c r="A14" t="inlineStr">
        <is>
          <t>PR-2007</t>
        </is>
      </c>
      <c r="B14" t="inlineStr">
        <is>
          <t>Vision Sensor</t>
        </is>
      </c>
      <c r="C14" t="inlineStr">
        <is>
          <t>Vendor_C</t>
        </is>
      </c>
      <c r="D14" t="n">
        <v>1</v>
      </c>
      <c r="E14">
        <f>D14*$B$4</f>
        <v/>
      </c>
      <c r="F14">
        <f>IFERROR(IF(C14="Vendor_A",VLOOKUP(A14,Vendor_A!$A$4:$C$200,3,FALSE),IF(C14="Vendor_B",VLOOKUP(A14,Vendor_B!$A$4:$C$200,3,FALSE),VLOOKUP(A14,Vendor_C!$A$4:$C$200,3,FALSE))),"")</f>
        <v/>
      </c>
      <c r="G14">
        <f>IFERROR(E14*F14,"")</f>
        <v/>
      </c>
    </row>
    <row r="15">
      <c r="A15" t="inlineStr">
        <is>
          <t>PR-2008</t>
        </is>
      </c>
      <c r="B15" t="inlineStr">
        <is>
          <t>Fastener Kit</t>
        </is>
      </c>
      <c r="C15" t="inlineStr">
        <is>
          <t>Vendor_B</t>
        </is>
      </c>
      <c r="D15" t="n">
        <v>1</v>
      </c>
      <c r="E15">
        <f>D15*$B$4</f>
        <v/>
      </c>
      <c r="F15">
        <f>IFERROR(IF(C15="Vendor_A",VLOOKUP(A15,Vendor_A!$A$4:$C$200,3,FALSE),IF(C15="Vendor_B",VLOOKUP(A15,Vendor_B!$A$4:$C$200,3,FALSE),VLOOKUP(A15,Vendor_C!$A$4:$C$200,3,FALSE))),"")</f>
        <v/>
      </c>
      <c r="G15">
        <f>IFERROR(E15*F15,"")</f>
        <v/>
      </c>
    </row>
    <row r="16">
      <c r="A16" s="9" t="n"/>
      <c r="B16" s="9" t="n"/>
      <c r="C16" s="9" t="n"/>
      <c r="D16" s="9" t="n"/>
      <c r="E16" s="9" t="n"/>
      <c r="F16" s="10" t="inlineStr">
        <is>
          <t>Grand Total</t>
        </is>
      </c>
      <c r="G16" s="11">
        <f>SUM(G8:G15)</f>
        <v/>
      </c>
      <c r="H16" s="9" t="n"/>
      <c r="I16" s="9" t="n"/>
    </row>
    <row r="17"/>
    <row r="18">
      <c r="A18" s="6" t="inlineStr">
        <is>
          <t>1) Update Build_Qty (cell B4). 2) Choose Vendor per part. 3) Unit_Price and Total_Cost update automatically.</t>
        </is>
      </c>
    </row>
    <row r="19">
      <c r="A19" t="inlineStr">
        <is>
          <t>1) Update Build_Qty (cell B4). 2) Choose Vendor per part. 3) Unit_Price and Total_Cost update automatically.</t>
        </is>
      </c>
    </row>
    <row r="20">
      <c r="A20" t="inlineStr">
        <is>
          <t>Tip: Add more parts by inserting rows above the Grand Total line and copying formulas down.</t>
        </is>
      </c>
    </row>
  </sheetData>
  <mergeCells count="4">
    <mergeCell ref="A1:I1"/>
    <mergeCell ref="A18:I18"/>
    <mergeCell ref="A3:C3"/>
    <mergeCell ref="A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2026-01-30T02:45:12Z</dcterms:created>
  <dcterms:modified xmlns:dcterms="http://purl.org/dc/terms/" xmlns:xsi="http://www.w3.org/2001/XMLSchema-instance" xsi:type="dcterms:W3CDTF">2026-01-30T02:45:12Z</dcterms:modified>
</cp:coreProperties>
</file>